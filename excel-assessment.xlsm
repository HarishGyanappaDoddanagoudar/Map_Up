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RISH\Desktop\MeriSkill\New folder\"/>
    </mc:Choice>
  </mc:AlternateContent>
  <xr:revisionPtr revIDLastSave="0" documentId="13_ncr:1_{BADA9648-C7F6-4129-BB6D-C88AE136BE04}" xr6:coauthVersionLast="47" xr6:coauthVersionMax="47" xr10:uidLastSave="{00000000-0000-0000-0000-000000000000}"/>
  <bookViews>
    <workbookView xWindow="36" yWindow="24" windowWidth="23004" windowHeight="1221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Data">Dataset!$A$1:$X$40</definedName>
    <definedName name="Header">Dataset!$A$1:$X$1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H42" i="1"/>
  <c r="C2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B6" i="19"/>
  <c r="C4" i="20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<sst xmlns="http://schemas.openxmlformats.org/spreadsheetml/2006/main" count="407" uniqueCount="184">
  <si>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</si>
  <si>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</si>
  <si>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</si>
  <si>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</si>
  <si>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</si>
  <si>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</si>
  <si>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</si>
  <si>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</si>
  <si>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</si>
  <si>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</si>
  <si>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</si>
  <si>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</si>
  <si>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</si>
  <si>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</si>
  <si>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</si>
  <si>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</si>
  <si>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</si>
  <si>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</si>
  <si>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</si>
  <si>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</si>
  <si>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</si>
  <si>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</si>
  <si>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</si>
  <si>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</si>
  <si>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</si>
  <si>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</si>
  <si>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</si>
  <si>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</si>
  <si>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</si>
  <si>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</si>
  <si>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</si>
  <si>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</si>
  <si>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</si>
  <si>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</si>
  <si>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</si>
  <si>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</si>
  <si>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</si>
  <si>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</si>
  <si>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</si>
  <si>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</si>
  <si>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</si>
  <si>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</si>
  <si>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</si>
  <si>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</si>
  <si>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</si>
  <si>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</si>
  <si>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</si>
  <si>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</si>
  <si>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</si>
  <si>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</si>
  <si>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</si>
  <si>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</si>
  <si>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</si>
  <si>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</si>
  <si>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</si>
  <si>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</si>
  <si>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</si>
  <si>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</si>
  <si>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</si>
  <si>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</si>
  <si>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</si>
  <si>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</si>
  <si>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</si>
  <si>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</si>
  <si>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</si>
  <si>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</si>
  <si>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</si>
  <si>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</si>
  <si>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</si>
  <si>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</si>
  <si>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</si>
  <si>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</si>
  <si>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</si>
  <si>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</si>
  <si>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</si>
  <si>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</si>
  <si>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</si>
  <si>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</si>
  <si>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</si>
  <si>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</si>
  <si>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</si>
  <si>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</si>
  <si>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</si>
  <si>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</si>
  <si>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</si>
  <si>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</si>
  <si>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</si>
  <si>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</si>
  <si>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</si>
  <si>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</si>
  <si>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</si>
  <si>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</si>
  <si>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</si>
  <si>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</si>
  <si>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</si>
  <si>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</si>
  <si>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</si>
  <si>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</si>
  <si>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</si>
  <si>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</si>
  <si>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</si>
  <si>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</si>
  <si>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</si>
  <si>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</si>
  <si>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</si>
  <si>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</si>
  <si>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</si>
  <si>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</si>
  <si>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</si>
  <si>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</si>
  <si>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</si>
  <si>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</si>
  <si>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</si>
  <si>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</si>
  <si>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</si>
  <si>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</si>
  <si>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</si>
  <si>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</si>
  <si>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</si>
  <si>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</si>
  <si>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</si>
  <si>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</si>
  <si>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</si>
  <si>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</si>
  <si>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</si>
  <si>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</si>
  <si>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</si>
  <si>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</si>
  <si>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</si>
  <si>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</si>
  <si>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</si>
  <si>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</si>
  <si>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</si>
  <si>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</si>
  <si>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</si>
  <si>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</si>
  <si>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</si>
  <si>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</si>
  <si>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</si>
  <si>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</si>
  <si>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</si>
  <si>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</si>
  <si>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</si>
  <si>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</si>
  <si>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</si>
  <si>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</si>
  <si>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</si>
  <si>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</si>
  <si>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</si>
  <si>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</si>
  <si>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</si>
  <si>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</si>
  <si>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</si>
  <si>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</si>
  <si>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</si>
  <si>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</si>
  <si>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</si>
  <si>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</si>
  <si>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</si>
  <si>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</si>
  <si>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</si>
  <si>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</si>
  <si>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</si>
  <si>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</si>
  <si>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</si>
  <si>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</si>
  <si>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</si>
  <si>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</si>
  <si>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</si>
  <si>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</si>
  <si>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</si>
  <si>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</si>
  <si>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</si>
  <si>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</si>
  <si>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</si>
  <si>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</si>
  <si>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</si>
  <si>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</si>
  <si>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</si>
  <si>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Sum of car2</t>
  </si>
  <si>
    <t>Here we used index ,match and vlookup formula to get answer.</t>
  </si>
  <si>
    <t>first we replace the #N/A with 20 and used sum formula</t>
  </si>
  <si>
    <t>we used text to column function</t>
  </si>
  <si>
    <t xml:space="preserve">first we selected A16:A54 and went to Data , text to column funtion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</si>
</sst>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C32" zoomScaleNormal="100" workbookViewId="0">
      <selection activeCell="H42" sqref="H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">
      <c r="G42" s="1" t="s">
        <v>179</v>
      </c>
      <c r="H42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40">
    <cfRule type="cellIs" dxfId="1" priority="2" operator="equal">
      <formula>-1</formula>
    </cfRule>
  </conditionalFormatting>
  <conditionalFormatting sqref="G10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4" sqref="C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8.6640625" style="1" bestFit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ht="31.2" customHeight="1" x14ac:dyDescent="0.3">
      <c r="A5" s="6">
        <v>3</v>
      </c>
      <c r="B5" s="2" t="s">
        <v>104</v>
      </c>
      <c r="C5" s="33" t="s">
        <v>105</v>
      </c>
      <c r="D5" s="1" t="s">
        <v>178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 t="shared" ref="B6:F15" si="0">VLOOKUP($A6,Data,MATCH(B$5,Header,0),FALSE)</f>
        <v>2.7</v>
      </c>
      <c r="C6" s="11">
        <f t="shared" si="0"/>
        <v>7.6</v>
      </c>
      <c r="D6" s="11">
        <f t="shared" si="0"/>
        <v>4.2</v>
      </c>
      <c r="E6" s="11">
        <f t="shared" si="0"/>
        <v>8.9</v>
      </c>
      <c r="F6" s="11">
        <f t="shared" si="0"/>
        <v>4.2</v>
      </c>
    </row>
    <row r="7" spans="1:7" ht="14.4" x14ac:dyDescent="0.3">
      <c r="A7" s="7" t="s">
        <v>4</v>
      </c>
      <c r="B7" s="11">
        <f t="shared" si="0"/>
        <v>2.7</v>
      </c>
      <c r="C7" s="11">
        <f t="shared" si="0"/>
        <v>7.6</v>
      </c>
      <c r="D7" s="11">
        <f t="shared" si="0"/>
        <v>4.2</v>
      </c>
      <c r="E7" s="11">
        <f t="shared" si="0"/>
        <v>8.9</v>
      </c>
      <c r="F7" s="11">
        <f t="shared" si="0"/>
        <v>4.2</v>
      </c>
    </row>
    <row r="8" spans="1:7" ht="14.4" x14ac:dyDescent="0.3">
      <c r="A8" s="7" t="s">
        <v>7</v>
      </c>
      <c r="B8" s="11">
        <f t="shared" si="0"/>
        <v>3.6</v>
      </c>
      <c r="C8" s="11">
        <f t="shared" si="0"/>
        <v>11.1</v>
      </c>
      <c r="D8" s="11">
        <f t="shared" si="0"/>
        <v>5.8</v>
      </c>
      <c r="E8" s="11">
        <f t="shared" si="0"/>
        <v>12.2</v>
      </c>
      <c r="F8" s="11">
        <f t="shared" si="0"/>
        <v>5.8</v>
      </c>
    </row>
    <row r="9" spans="1:7" ht="14.4" x14ac:dyDescent="0.3">
      <c r="A9" s="7" t="s">
        <v>8</v>
      </c>
      <c r="B9" s="11">
        <f t="shared" si="0"/>
        <v>4.9000000000000004</v>
      </c>
      <c r="C9" s="11">
        <f t="shared" si="0"/>
        <v>13.3</v>
      </c>
      <c r="D9" s="11">
        <f t="shared" si="0"/>
        <v>8.1</v>
      </c>
      <c r="E9" s="11">
        <f t="shared" si="0"/>
        <v>17</v>
      </c>
      <c r="F9" s="11">
        <f t="shared" si="0"/>
        <v>8.1</v>
      </c>
    </row>
    <row r="10" spans="1:7" ht="14.4" x14ac:dyDescent="0.3">
      <c r="A10" s="7" t="s">
        <v>11</v>
      </c>
      <c r="B10" s="11">
        <f t="shared" si="0"/>
        <v>9.4</v>
      </c>
      <c r="C10" s="11">
        <f t="shared" si="0"/>
        <v>28.3</v>
      </c>
      <c r="D10" s="11">
        <f t="shared" si="0"/>
        <v>16.100000000000001</v>
      </c>
      <c r="E10" s="11">
        <f t="shared" si="0"/>
        <v>32.799999999999997</v>
      </c>
      <c r="F10" s="11">
        <f t="shared" si="0"/>
        <v>16.100000000000001</v>
      </c>
    </row>
    <row r="11" spans="1:7" ht="14.4" x14ac:dyDescent="0.3">
      <c r="A11" s="7" t="s">
        <v>12</v>
      </c>
      <c r="B11" s="11">
        <f t="shared" si="0"/>
        <v>11.6</v>
      </c>
      <c r="C11" s="11">
        <f t="shared" si="0"/>
        <v>35.200000000000003</v>
      </c>
      <c r="D11" s="11">
        <f t="shared" si="0"/>
        <v>21.3</v>
      </c>
      <c r="E11" s="11">
        <f t="shared" si="0"/>
        <v>43</v>
      </c>
      <c r="F11" s="11">
        <f t="shared" si="0"/>
        <v>21.3</v>
      </c>
    </row>
    <row r="12" spans="1:7" ht="14.4" x14ac:dyDescent="0.3">
      <c r="A12" s="7" t="s">
        <v>14</v>
      </c>
      <c r="B12" s="11">
        <f t="shared" si="0"/>
        <v>18.399999999999999</v>
      </c>
      <c r="C12" s="11">
        <f t="shared" si="0"/>
        <v>55.6</v>
      </c>
      <c r="D12" s="11">
        <f t="shared" si="0"/>
        <v>33.799999999999997</v>
      </c>
      <c r="E12" s="11">
        <f t="shared" si="0"/>
        <v>67.900000000000006</v>
      </c>
      <c r="F12" s="11">
        <f t="shared" si="0"/>
        <v>33.799999999999997</v>
      </c>
    </row>
    <row r="13" spans="1:7" ht="14.4" x14ac:dyDescent="0.3">
      <c r="A13" s="7" t="s">
        <v>15</v>
      </c>
      <c r="B13" s="11">
        <f t="shared" si="0"/>
        <v>0</v>
      </c>
      <c r="C13" s="11">
        <f t="shared" si="0"/>
        <v>0</v>
      </c>
      <c r="D13" s="11">
        <f t="shared" si="0"/>
        <v>0</v>
      </c>
      <c r="E13" s="11">
        <f t="shared" si="0"/>
        <v>0</v>
      </c>
      <c r="F13" s="11">
        <f t="shared" si="0"/>
        <v>0</v>
      </c>
    </row>
    <row r="14" spans="1:7" ht="14.4" x14ac:dyDescent="0.3">
      <c r="A14" s="7" t="s">
        <v>16</v>
      </c>
      <c r="B14" s="11">
        <f t="shared" si="0"/>
        <v>21.9</v>
      </c>
      <c r="C14" s="11">
        <f t="shared" si="0"/>
        <v>61.5</v>
      </c>
      <c r="D14" s="11">
        <f t="shared" si="0"/>
        <v>40.1</v>
      </c>
      <c r="E14" s="11">
        <f t="shared" si="0"/>
        <v>76.599999999999994</v>
      </c>
      <c r="F14" s="11">
        <f t="shared" si="0"/>
        <v>40.1</v>
      </c>
    </row>
    <row r="15" spans="1:7" ht="14.4" x14ac:dyDescent="0.3">
      <c r="A15" s="7" t="s">
        <v>18</v>
      </c>
      <c r="B15" s="11">
        <f t="shared" si="0"/>
        <v>26.8</v>
      </c>
      <c r="C15" s="11">
        <f t="shared" si="0"/>
        <v>79.599999999999994</v>
      </c>
      <c r="D15" s="11">
        <f t="shared" si="0"/>
        <v>47.9</v>
      </c>
      <c r="E15" s="11">
        <f t="shared" si="0"/>
        <v>96.8</v>
      </c>
      <c r="F15" s="11">
        <f t="shared" si="0"/>
        <v>47.9</v>
      </c>
    </row>
    <row r="16" spans="1:7" ht="14.4" x14ac:dyDescent="0.3">
      <c r="A16" s="7" t="s">
        <v>20</v>
      </c>
      <c r="B16" s="11">
        <f t="shared" ref="B16:F27" si="1">VLOOKUP($A16,Data,MATCH(B$5,Header,0),FALSE)</f>
        <v>28.5</v>
      </c>
      <c r="C16" s="11">
        <f t="shared" si="1"/>
        <v>85.4</v>
      </c>
      <c r="D16" s="11">
        <f t="shared" si="1"/>
        <v>52.3</v>
      </c>
      <c r="E16" s="11">
        <f t="shared" si="1"/>
        <v>106.1</v>
      </c>
      <c r="F16" s="11">
        <f t="shared" si="1"/>
        <v>52.3</v>
      </c>
    </row>
    <row r="17" spans="1:6" ht="14.4" x14ac:dyDescent="0.3">
      <c r="A17" s="7" t="s">
        <v>22</v>
      </c>
      <c r="B17" s="11">
        <f t="shared" si="1"/>
        <v>30.7</v>
      </c>
      <c r="C17" s="11">
        <f t="shared" si="1"/>
        <v>92.1</v>
      </c>
      <c r="D17" s="11">
        <f t="shared" si="1"/>
        <v>57</v>
      </c>
      <c r="E17" s="11">
        <f t="shared" si="1"/>
        <v>115.1</v>
      </c>
      <c r="F17" s="11">
        <f t="shared" si="1"/>
        <v>57</v>
      </c>
    </row>
    <row r="18" spans="1:6" ht="14.4" x14ac:dyDescent="0.3">
      <c r="A18" s="7" t="s">
        <v>23</v>
      </c>
      <c r="B18" s="11">
        <f t="shared" si="1"/>
        <v>33.799999999999997</v>
      </c>
      <c r="C18" s="11">
        <f t="shared" si="1"/>
        <v>101.3</v>
      </c>
      <c r="D18" s="11">
        <f t="shared" si="1"/>
        <v>61.4</v>
      </c>
      <c r="E18" s="11">
        <f t="shared" si="1"/>
        <v>124.4</v>
      </c>
      <c r="F18" s="11">
        <f t="shared" si="1"/>
        <v>61.4</v>
      </c>
    </row>
    <row r="19" spans="1:6" ht="14.4" x14ac:dyDescent="0.3">
      <c r="A19" s="7" t="s">
        <v>24</v>
      </c>
      <c r="B19" s="11">
        <f t="shared" si="1"/>
        <v>34.700000000000003</v>
      </c>
      <c r="C19" s="11">
        <f t="shared" si="1"/>
        <v>106.1</v>
      </c>
      <c r="D19" s="11">
        <f t="shared" si="1"/>
        <v>63.6</v>
      </c>
      <c r="E19" s="11">
        <f t="shared" si="1"/>
        <v>128.6</v>
      </c>
      <c r="F19" s="11">
        <f t="shared" si="1"/>
        <v>63.6</v>
      </c>
    </row>
    <row r="20" spans="1:6" ht="14.4" x14ac:dyDescent="0.3">
      <c r="A20" s="7" t="s">
        <v>28</v>
      </c>
      <c r="B20" s="11">
        <f t="shared" si="1"/>
        <v>0</v>
      </c>
      <c r="C20" s="11">
        <f t="shared" si="1"/>
        <v>0</v>
      </c>
      <c r="D20" s="11">
        <f t="shared" si="1"/>
        <v>0</v>
      </c>
      <c r="E20" s="11">
        <f t="shared" si="1"/>
        <v>0</v>
      </c>
      <c r="F20" s="11">
        <f t="shared" si="1"/>
        <v>0</v>
      </c>
    </row>
    <row r="21" spans="1:6" ht="14.4" x14ac:dyDescent="0.3">
      <c r="A21" s="7" t="s">
        <v>57</v>
      </c>
      <c r="B21" s="11">
        <f t="shared" si="1"/>
        <v>41.3</v>
      </c>
      <c r="C21" s="11">
        <f t="shared" si="1"/>
        <v>124.4</v>
      </c>
      <c r="D21" s="11">
        <f t="shared" si="1"/>
        <v>75</v>
      </c>
      <c r="E21" s="11">
        <f t="shared" si="1"/>
        <v>151.5</v>
      </c>
      <c r="F21" s="11">
        <f t="shared" si="1"/>
        <v>75</v>
      </c>
    </row>
    <row r="22" spans="1:6" ht="14.4" x14ac:dyDescent="0.3">
      <c r="A22" s="7" t="s">
        <v>58</v>
      </c>
      <c r="B22" s="11">
        <f t="shared" si="1"/>
        <v>-1</v>
      </c>
      <c r="C22" s="11">
        <f t="shared" si="1"/>
        <v>-1</v>
      </c>
      <c r="D22" s="11">
        <f t="shared" si="1"/>
        <v>-1</v>
      </c>
      <c r="E22" s="11">
        <f t="shared" si="1"/>
        <v>-1</v>
      </c>
      <c r="F22" s="11">
        <f t="shared" si="1"/>
        <v>-1</v>
      </c>
    </row>
    <row r="23" spans="1:6" ht="14.4" x14ac:dyDescent="0.3">
      <c r="A23" s="7" t="s">
        <v>31</v>
      </c>
      <c r="B23" s="11">
        <f t="shared" si="1"/>
        <v>45</v>
      </c>
      <c r="C23" s="11">
        <f t="shared" si="1"/>
        <v>133.4</v>
      </c>
      <c r="D23" s="11">
        <f t="shared" si="1"/>
        <v>79.400000000000006</v>
      </c>
      <c r="E23" s="11">
        <f t="shared" si="1"/>
        <v>160.9</v>
      </c>
      <c r="F23" s="11">
        <f t="shared" si="1"/>
        <v>79.400000000000006</v>
      </c>
    </row>
    <row r="24" spans="1:6" ht="14.4" x14ac:dyDescent="0.3">
      <c r="A24" s="7" t="s">
        <v>32</v>
      </c>
      <c r="B24" s="11">
        <f t="shared" si="1"/>
        <v>-1</v>
      </c>
      <c r="C24" s="11">
        <f t="shared" si="1"/>
        <v>-1</v>
      </c>
      <c r="D24" s="11">
        <f t="shared" si="1"/>
        <v>-1</v>
      </c>
      <c r="E24" s="11">
        <f t="shared" si="1"/>
        <v>-1</v>
      </c>
      <c r="F24" s="11">
        <f t="shared" si="1"/>
        <v>-1</v>
      </c>
    </row>
    <row r="25" spans="1:6" ht="14.4" x14ac:dyDescent="0.3">
      <c r="A25" s="7" t="s">
        <v>34</v>
      </c>
      <c r="B25" s="11">
        <f t="shared" si="1"/>
        <v>43.3</v>
      </c>
      <c r="C25" s="11">
        <f t="shared" si="1"/>
        <v>128.6</v>
      </c>
      <c r="D25" s="11">
        <f t="shared" si="1"/>
        <v>79.400000000000006</v>
      </c>
      <c r="E25" s="11">
        <f t="shared" si="1"/>
        <v>160.9</v>
      </c>
      <c r="F25" s="11">
        <f t="shared" si="1"/>
        <v>79.400000000000006</v>
      </c>
    </row>
    <row r="26" spans="1:6" ht="14.4" x14ac:dyDescent="0.3">
      <c r="A26" s="7" t="s">
        <v>37</v>
      </c>
      <c r="B26" s="11">
        <f t="shared" si="1"/>
        <v>49.1</v>
      </c>
      <c r="C26" s="11">
        <f t="shared" si="1"/>
        <v>146.80000000000001</v>
      </c>
      <c r="D26" s="11">
        <f t="shared" si="1"/>
        <v>90.9</v>
      </c>
      <c r="E26" s="11">
        <f t="shared" si="1"/>
        <v>183.5</v>
      </c>
      <c r="F26" s="11">
        <f t="shared" si="1"/>
        <v>90.9</v>
      </c>
    </row>
    <row r="27" spans="1:6" ht="14.4" x14ac:dyDescent="0.3">
      <c r="A27" s="7" t="s">
        <v>39</v>
      </c>
      <c r="B27" s="11">
        <f t="shared" si="1"/>
        <v>51.8</v>
      </c>
      <c r="C27" s="11">
        <f t="shared" si="1"/>
        <v>156.4</v>
      </c>
      <c r="D27" s="11">
        <f t="shared" si="1"/>
        <v>93.1</v>
      </c>
      <c r="E27" s="11">
        <f t="shared" si="1"/>
        <v>188.1</v>
      </c>
      <c r="F27" s="11">
        <f t="shared" si="1"/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2">MIN(C6:C27)</f>
        <v>-1</v>
      </c>
      <c r="D28" s="30">
        <f t="shared" si="2"/>
        <v>-1</v>
      </c>
      <c r="E28" s="30">
        <f t="shared" si="2"/>
        <v>-1</v>
      </c>
      <c r="F28" s="30">
        <f t="shared" si="2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3">MAX(C6:C27)</f>
        <v>156.4</v>
      </c>
      <c r="D29" s="30">
        <f t="shared" si="3"/>
        <v>93.1</v>
      </c>
      <c r="E29" s="30">
        <f t="shared" si="3"/>
        <v>188.1</v>
      </c>
      <c r="F29" s="30">
        <f t="shared" si="3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4">AVERAGE(C6:C27)</f>
        <v>62.377272727272725</v>
      </c>
      <c r="D30" s="30">
        <f t="shared" si="4"/>
        <v>37.800000000000004</v>
      </c>
      <c r="E30" s="30">
        <f t="shared" si="4"/>
        <v>76.418181818181822</v>
      </c>
      <c r="F30" s="30">
        <f t="shared" si="4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I9" sqref="I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 t="s">
        <v>182</v>
      </c>
    </row>
    <row r="6" spans="1:10" ht="18" x14ac:dyDescent="0.35">
      <c r="A6" s="42" t="s">
        <v>154</v>
      </c>
      <c r="B6" s="39" t="s">
        <v>183</v>
      </c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5" sqref="D1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168</v>
      </c>
    </row>
    <row r="2" spans="1:3" ht="18" x14ac:dyDescent="0.35">
      <c r="B2" s="39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tr">
        <f ca="1">_xlfn.FORMULATEXT(C22)</f>
        <v>=SUM(C12:C21)</v>
      </c>
    </row>
    <row r="7" spans="1:3" ht="14.4" x14ac:dyDescent="0.3">
      <c r="A7" s="3" t="s">
        <v>154</v>
      </c>
      <c r="B7" s="1" t="s">
        <v>181</v>
      </c>
    </row>
    <row r="10" spans="1:3" ht="23.4" x14ac:dyDescent="0.45">
      <c r="A10" s="17" t="s">
        <v>163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155</v>
      </c>
      <c r="C17" s="16">
        <v>150</v>
      </c>
    </row>
    <row r="18" spans="1:3" ht="14.4" x14ac:dyDescent="0.3">
      <c r="A18" s="31">
        <v>44933</v>
      </c>
      <c r="B18" s="16" t="s">
        <v>156</v>
      </c>
      <c r="C18" s="16">
        <v>80</v>
      </c>
    </row>
    <row r="19" spans="1:3" ht="14.4" x14ac:dyDescent="0.3">
      <c r="A19" s="31">
        <v>44934</v>
      </c>
      <c r="B19" s="16" t="s">
        <v>157</v>
      </c>
      <c r="C19" s="16">
        <v>20</v>
      </c>
    </row>
    <row r="20" spans="1:3" ht="14.4" x14ac:dyDescent="0.3">
      <c r="A20" s="31">
        <v>44935</v>
      </c>
      <c r="B20" s="16" t="s">
        <v>158</v>
      </c>
      <c r="C20" s="16">
        <v>30</v>
      </c>
    </row>
    <row r="21" spans="1:3" ht="14.4" x14ac:dyDescent="0.3">
      <c r="A21" s="31">
        <v>44936</v>
      </c>
      <c r="B21" s="16" t="s">
        <v>159</v>
      </c>
      <c r="C21" s="16">
        <v>20</v>
      </c>
    </row>
    <row r="22" spans="1:3" ht="14.4" x14ac:dyDescent="0.3">
      <c r="B22" s="16" t="s">
        <v>160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81" zoomScaleNormal="100" workbookViewId="0">
      <selection activeCell="G20" sqref="G20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176</v>
      </c>
    </row>
    <row r="3" spans="1:14" ht="14.4" x14ac:dyDescent="0.3">
      <c r="B3" s="1" t="s">
        <v>152</v>
      </c>
    </row>
    <row r="4" spans="1:14" ht="18" x14ac:dyDescent="0.35">
      <c r="A4" s="42" t="s">
        <v>53</v>
      </c>
      <c r="B4" s="1"/>
      <c r="C4" s="2" t="str">
        <f ca="1">_xlfn.FORMULATEXT(C23)</f>
        <v>=INDEX($A$10:$J$18,MATCH(VLOOKUP(A23,$M$10:$N$18,2,FALSE),$A$10:$A$18,0),MATCH(VLOOKUP(B23,$M$10:$N$18,2,FALSE),$A$9:$J$9,0))</v>
      </c>
    </row>
    <row r="5" spans="1:14" ht="18" x14ac:dyDescent="0.35">
      <c r="A5" s="42" t="s">
        <v>154</v>
      </c>
      <c r="B5" s="1"/>
      <c r="C5" s="2" t="s">
        <v>180</v>
      </c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INDEX($A$10:$J$18,MATCH(VLOOKUP(A23,$M$10:$N$18,2,FALSE),$A$10:$A$18,0),MATCH(VLOOKUP(B23,$M$10:$N$18,2,FALSE),$A$9:$J$9,0))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INDEX($A$10:$J$18,MATCH(VLOOKUP(A24,$M$10:$N$18,2,FALSE),$A$10:$A$18,0),MATCH(VLOOKUP(B24,$M$10:$N$18,2,FALSE),$A$9:$J$9,0))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  <vt:lpstr>Header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Harish Doddanagoudar</cp:lastModifiedBy>
  <dcterms:created xsi:type="dcterms:W3CDTF">2015-02-10T17:33:11Z</dcterms:created>
  <dcterms:modified xsi:type="dcterms:W3CDTF">2023-12-10T13:05:53Z</dcterms:modified>
</cp:coreProperties>
</file>